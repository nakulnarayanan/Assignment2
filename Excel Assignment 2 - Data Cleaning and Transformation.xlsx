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67CB8A3-42AB-4D4F-A12C-5399CBE3B612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Instructions" sheetId="1" r:id="rId1"/>
    <sheet name="Dataset" sheetId="2" r:id="rId2"/>
    <sheet name="Solution" sheetId="4" r:id="rId3"/>
  </sheets>
  <definedNames>
    <definedName name="ExternalData_1" localSheetId="2" hidden="1">Solution!$A$1:$I$32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N5" i="4" l="1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91B207-6353-4F88-BA1D-570FC5ABACB7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<sst xmlns="http://schemas.openxmlformats.org/spreadsheetml/2006/main" count="347" uniqueCount="147">
  <si>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</si>
  <si>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</si>
  <si>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</si>
  <si>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</si>
  <si>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</si>
  <si>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</si>
  <si>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</si>
  <si>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</si>
  <si>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</si>
  <si>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</si>
  <si>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</si>
  <si>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</si>
  <si>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</si>
  <si>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</si>
  <si>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</si>
  <si>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</si>
  <si>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</si>
  <si>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</si>
  <si>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</si>
  <si>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</si>
  <si>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</si>
  <si>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</si>
  <si>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</si>
  <si>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</si>
  <si>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</si>
  <si>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</si>
  <si>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</si>
  <si>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</si>
  <si>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</si>
  <si>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</si>
  <si>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</si>
  <si>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</si>
  <si>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</si>
  <si>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</si>
  <si>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</si>
  <si>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</si>
  <si>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</si>
  <si>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</si>
  <si>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</si>
  <si>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</si>
  <si>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</si>
  <si>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</si>
  <si>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</si>
  <si>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</si>
  <si>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</si>
  <si>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</si>
  <si>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</si>
  <si>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</si>
  <si>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</si>
  <si>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</si>
  <si>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</si>
  <si>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</si>
  <si>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</si>
  <si>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</si>
  <si>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</si>
  <si>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</si>
  <si>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</si>
  <si>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</si>
  <si>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</si>
  <si>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</si>
  <si>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</si>
  <si>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</si>
  <si>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</si>
  <si>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</si>
  <si>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</si>
  <si>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</si>
  <si>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</si>
  <si>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</si>
  <si>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</si>
  <si>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</si>
  <si>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</si>
  <si>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</si>
  <si>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</si>
  <si>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</si>
  <si>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</si>
  <si>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</si>
  <si>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</si>
  <si>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</si>
  <si>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</si>
  <si>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</si>
  <si>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</si>
  <si>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</si>
  <si>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</si>
  <si>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</si>
  <si>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</si>
  <si>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</si>
  <si>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</si>
  <si>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</si>
  <si>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</si>
  <si>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</si>
  <si>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</si>
  <si>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</si>
  <si>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</si>
  <si>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</si>
  <si>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</si>
  <si>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</si>
  <si>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</si>
  <si>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</si>
  <si>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</si>
  <si>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</si>
  <si>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</si>
  <si>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</si>
  <si>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</si>
  <si>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</si>
  <si>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</si>
  <si>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</si>
  <si>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</si>
  <si>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</si>
  <si>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</si>
  <si>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</si>
  <si>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</si>
  <si>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</si>
  <si>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</si>
  <si>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</si>
  <si>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</si>
  <si>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</si>
  <si>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</si>
  <si>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Qn.</t>
  </si>
  <si>
    <t>Ans.</t>
  </si>
  <si>
    <t>Average value of same type of items.</t>
  </si>
  <si>
    <t>Unknown</t>
  </si>
  <si>
    <t>Corrected using find and replace option for Electronics</t>
  </si>
  <si>
    <t>Corrected using Clean, Trim and Capitalize Each Word option</t>
  </si>
  <si>
    <t>Used conditional formatting and highilghted the duplicates and removed the duplicate values. Found 3 duplicate values</t>
  </si>
  <si>
    <t>Mfg. Date</t>
  </si>
  <si>
    <t>Country code</t>
  </si>
  <si>
    <t>UK</t>
  </si>
  <si>
    <t>CA</t>
  </si>
  <si>
    <t>US</t>
  </si>
  <si>
    <t>DE</t>
  </si>
  <si>
    <t>FR</t>
  </si>
  <si>
    <t>RU</t>
  </si>
  <si>
    <t>ES</t>
  </si>
  <si>
    <t>IN</t>
  </si>
  <si>
    <t>BR</t>
  </si>
  <si>
    <t>CN</t>
  </si>
  <si>
    <t>AU</t>
  </si>
  <si>
    <t>IT</t>
  </si>
  <si>
    <t>Used flashfill option - Cntrl +E</t>
  </si>
  <si>
    <t>Product Brand</t>
  </si>
  <si>
    <t>Used &amp; operator and included a space.</t>
  </si>
  <si>
    <t>Right click - format - currency - selected English (US) Dollars</t>
  </si>
  <si>
    <t>Right click - format - Date - Selected 12-07-2012 format</t>
  </si>
  <si>
    <t>Go to Conditional formatting -&gt; Select New rule -&gt; Select Format only cells that contains - &gt; Give Cell value equal to Electronics</t>
  </si>
  <si>
    <t>Done (Conditional Formatting -&gt; Data Bars)</t>
  </si>
  <si>
    <t>Given the value Unknown</t>
  </si>
  <si>
    <t>Corrected the "headphones" text. And Electronics.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</si>
</sst>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0" xfId="0" applyNumberFormat="1" applyFont="1"/>
    <xf numFmtId="0" fontId="9" fillId="0" borderId="0" xfId="0" applyFont="1" applyAlignment="1">
      <alignment wrapText="1"/>
    </xf>
    <xf numFmtId="165" fontId="0" fillId="0" borderId="0" xfId="0" applyNumberFormat="1"/>
    <xf numFmtId="14" fontId="9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2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165" formatCode="[$$-409]#,##0.0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CB152A-C480-465E-8803-DAE7F422DDDA}" autoFormatId="16" applyNumberFormats="0" applyBorderFormats="0" applyFontFormats="0" applyPatternFormats="0" applyAlignmentFormats="0" applyWidthHeightFormats="0">
  <queryTableRefresh nextId="20">
    <queryTableFields count="9">
      <queryTableField id="1" name="Product ID" tableColumnId="1"/>
      <queryTableField id="18" dataBound="0" tableColumnId="18"/>
      <queryTableField id="17" dataBound="0" tableColumnId="17"/>
      <queryTableField id="2" name="Product Name" tableColumnId="2"/>
      <queryTableField id="3" name="Brand Name" tableColumnId="3"/>
      <queryTableField id="19" dataBound="0" tableColumnId="20"/>
      <queryTableField id="4" name="Price ($)" tableColumnId="4"/>
      <queryTableField id="5" name="Quantity" tableColumnId="5"/>
      <queryTableField id="6" name="Category" tableColumnId="6"/>
    </queryTableFields>
    <queryTableDeletedFields count="10"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FDAC5-0F7C-4111-B93C-9264281A699E}" name="Dataset" displayName="Dataset" ref="A1:I32" tableType="queryTable" totalsRowShown="0">
  <autoFilter ref="A1:I32" xr:uid="{757FDAC5-0F7C-4111-B93C-9264281A699E}"/>
  <sortState xmlns:xlrd2="http://schemas.microsoft.com/office/spreadsheetml/2017/richdata2" ref="A2:I32">
    <sortCondition ref="A1:A32"/>
  </sortState>
  <tableColumns count="9">
    <tableColumn id="1" xr3:uid="{F568A29D-2DC7-4CFF-A88E-71DCD02049D1}" uniqueName="1" name="Product ID" queryTableFieldId="1" dataDxfId="18"/>
    <tableColumn id="18" xr3:uid="{3D8E8FD2-2B49-4469-B40A-5C5E25AFE30A}" uniqueName="18" name="Mfg. Date" queryTableFieldId="18" dataDxfId="16"/>
    <tableColumn id="17" xr3:uid="{BCAADEAF-0B7E-4D7B-A245-CD81957F1E88}" uniqueName="17" name="Country code" queryTableFieldId="17" dataDxfId="17"/>
    <tableColumn id="2" xr3:uid="{9F45739F-65F1-4238-853D-5C6E0D00FFFA}" uniqueName="2" name="Product Name" queryTableFieldId="2" dataDxfId="25"/>
    <tableColumn id="3" xr3:uid="{A1F52DAC-625F-4C80-BD4A-46EB29606BD4}" uniqueName="3" name="Brand Name" queryTableFieldId="3" dataDxfId="24"/>
    <tableColumn id="20" xr3:uid="{E8EA1E14-338D-45E7-AE2A-A42AE71089F1}" uniqueName="20" name="Product Brand" queryTableFieldId="19" dataDxfId="20">
      <calculatedColumnFormula>Dataset[[#This Row],[Brand Name]]&amp; " " &amp;Dataset[[#This Row],[Product Name]]</calculatedColumnFormula>
    </tableColumn>
    <tableColumn id="4" xr3:uid="{F3E85AF0-13EE-4E54-985B-A8DDB20B58CC}" uniqueName="4" name="Price ($)" queryTableFieldId="4" dataDxfId="19"/>
    <tableColumn id="5" xr3:uid="{921E9F03-A60B-4AED-BF38-8EB8E7ACA5AA}" uniqueName="5" name="Quantity" queryTableFieldId="5"/>
    <tableColumn id="6" xr3:uid="{48238BB3-D211-40A2-9DAE-9C5CBB22E9A2}" uniqueName="6" name="Category" queryTableFieldId="6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25" sqref="C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D1" sqref="D1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2D8B-AADC-4727-AC43-A0A8D8E93BAC}">
  <dimension ref="A1:N32"/>
  <sheetViews>
    <sheetView tabSelected="1" workbookViewId="0">
      <selection activeCell="M6" sqref="M6"/>
    </sheetView>
  </sheetViews>
  <sheetFormatPr defaultRowHeight="13.2" x14ac:dyDescent="0.25"/>
  <cols>
    <col min="1" max="1" width="12.5546875" bestFit="1" customWidth="1"/>
    <col min="2" max="2" width="13.33203125" style="18" bestFit="1" customWidth="1"/>
    <col min="3" max="3" width="15.109375" bestFit="1" customWidth="1"/>
    <col min="4" max="4" width="15.77734375" bestFit="1" customWidth="1"/>
    <col min="5" max="5" width="14.109375" bestFit="1" customWidth="1"/>
    <col min="6" max="6" width="20.77734375" bestFit="1" customWidth="1"/>
    <col min="7" max="7" width="10.5546875" style="16" bestFit="1" customWidth="1"/>
    <col min="8" max="8" width="10.6640625" bestFit="1" customWidth="1"/>
    <col min="9" max="9" width="11.21875" customWidth="1"/>
    <col min="12" max="12" width="54.33203125" style="10" customWidth="1"/>
    <col min="13" max="13" width="37.33203125" style="10" customWidth="1"/>
    <col min="14" max="14" width="19.77734375" customWidth="1"/>
  </cols>
  <sheetData>
    <row r="1" spans="1:14" x14ac:dyDescent="0.25">
      <c r="A1" t="s">
        <v>19</v>
      </c>
      <c r="B1" s="17" t="s">
        <v>124</v>
      </c>
      <c r="C1" s="13" t="s">
        <v>125</v>
      </c>
      <c r="D1" t="s">
        <v>20</v>
      </c>
      <c r="E1" t="s">
        <v>21</v>
      </c>
      <c r="F1" s="13" t="s">
        <v>139</v>
      </c>
      <c r="G1" s="16" t="s">
        <v>22</v>
      </c>
      <c r="H1" t="s">
        <v>23</v>
      </c>
      <c r="I1" t="s">
        <v>24</v>
      </c>
    </row>
    <row r="2" spans="1:14" x14ac:dyDescent="0.25">
      <c r="A2" s="14" t="s">
        <v>80</v>
      </c>
      <c r="B2" s="17">
        <v>46082</v>
      </c>
      <c r="C2" s="14" t="s">
        <v>126</v>
      </c>
      <c r="D2" s="9" t="s">
        <v>81</v>
      </c>
      <c r="E2" s="9" t="s">
        <v>82</v>
      </c>
      <c r="F2" s="9" t="str">
        <f>Dataset[[#This Row],[Brand Name]]&amp; " " &amp;Dataset[[#This Row],[Product Name]]</f>
        <v>Oakley Sunglasses</v>
      </c>
      <c r="G2" s="16">
        <v>150</v>
      </c>
      <c r="H2">
        <v>15</v>
      </c>
      <c r="I2" s="9" t="s">
        <v>32</v>
      </c>
    </row>
    <row r="3" spans="1:14" x14ac:dyDescent="0.25">
      <c r="A3" s="9" t="s">
        <v>110</v>
      </c>
      <c r="B3" s="17">
        <v>46083</v>
      </c>
      <c r="C3" s="14" t="s">
        <v>127</v>
      </c>
      <c r="D3" s="9" t="s">
        <v>111</v>
      </c>
      <c r="E3" s="9" t="s">
        <v>112</v>
      </c>
      <c r="F3" s="9" t="str">
        <f>Dataset[[#This Row],[Brand Name]]&amp; " " &amp;Dataset[[#This Row],[Product Name]]</f>
        <v>Levi's Jeans</v>
      </c>
      <c r="G3" s="16">
        <v>50</v>
      </c>
      <c r="H3">
        <v>50</v>
      </c>
      <c r="I3" s="9" t="s">
        <v>32</v>
      </c>
    </row>
    <row r="4" spans="1:14" x14ac:dyDescent="0.25">
      <c r="A4" s="9" t="s">
        <v>98</v>
      </c>
      <c r="B4" s="17">
        <v>46084</v>
      </c>
      <c r="C4" s="14" t="s">
        <v>127</v>
      </c>
      <c r="D4" s="9" t="s">
        <v>81</v>
      </c>
      <c r="E4" s="9" t="s">
        <v>99</v>
      </c>
      <c r="F4" s="9" t="str">
        <f>Dataset[[#This Row],[Brand Name]]&amp; " " &amp;Dataset[[#This Row],[Product Name]]</f>
        <v>Ray-Ban Sunglasses</v>
      </c>
      <c r="G4" s="16">
        <v>150</v>
      </c>
      <c r="H4">
        <v>25</v>
      </c>
      <c r="I4" s="9" t="s">
        <v>32</v>
      </c>
      <c r="L4" s="12" t="s">
        <v>117</v>
      </c>
      <c r="M4" s="12" t="s">
        <v>118</v>
      </c>
    </row>
    <row r="5" spans="1:14" ht="46.8" x14ac:dyDescent="0.3">
      <c r="A5" s="9" t="s">
        <v>33</v>
      </c>
      <c r="B5" s="17">
        <v>46085</v>
      </c>
      <c r="C5" s="14" t="s">
        <v>128</v>
      </c>
      <c r="D5" s="9" t="s">
        <v>34</v>
      </c>
      <c r="E5" s="9" t="s">
        <v>35</v>
      </c>
      <c r="F5" s="9" t="str">
        <f>Dataset[[#This Row],[Brand Name]]&amp; " " &amp;Dataset[[#This Row],[Product Name]]</f>
        <v>Keurig Coffee Maker</v>
      </c>
      <c r="G5" s="16">
        <v>130</v>
      </c>
      <c r="H5">
        <v>40</v>
      </c>
      <c r="I5" s="9" t="s">
        <v>36</v>
      </c>
      <c r="L5" s="11" t="s">
        <v>2</v>
      </c>
      <c r="M5" s="15" t="s">
        <v>119</v>
      </c>
      <c r="N5">
        <f>AVERAGEIF(Dataset[Product Name],D2,Dataset[Price ($)])</f>
        <v>150</v>
      </c>
    </row>
    <row r="6" spans="1:14" ht="46.8" x14ac:dyDescent="0.3">
      <c r="A6" s="9" t="s">
        <v>53</v>
      </c>
      <c r="B6" s="17">
        <v>46086</v>
      </c>
      <c r="C6" s="14" t="s">
        <v>126</v>
      </c>
      <c r="D6" s="9" t="s">
        <v>54</v>
      </c>
      <c r="E6" s="9" t="s">
        <v>55</v>
      </c>
      <c r="F6" s="9" t="str">
        <f>Dataset[[#This Row],[Brand Name]]&amp; " " &amp;Dataset[[#This Row],[Product Name]]</f>
        <v>Apple Tablet</v>
      </c>
      <c r="G6" s="16">
        <v>500</v>
      </c>
      <c r="H6">
        <v>50</v>
      </c>
      <c r="I6" s="9" t="s">
        <v>28</v>
      </c>
      <c r="L6" s="11" t="s">
        <v>3</v>
      </c>
      <c r="M6" s="15" t="s">
        <v>145</v>
      </c>
    </row>
    <row r="7" spans="1:14" x14ac:dyDescent="0.25">
      <c r="A7" s="9" t="s">
        <v>43</v>
      </c>
      <c r="B7" s="17">
        <v>46087</v>
      </c>
      <c r="C7" s="14" t="s">
        <v>126</v>
      </c>
      <c r="D7" s="9" t="s">
        <v>44</v>
      </c>
      <c r="E7" s="9" t="s">
        <v>45</v>
      </c>
      <c r="F7" s="9" t="str">
        <f>Dataset[[#This Row],[Brand Name]]&amp; " " &amp;Dataset[[#This Row],[Product Name]]</f>
        <v>Sony Headphones</v>
      </c>
      <c r="G7" s="16">
        <v>250</v>
      </c>
      <c r="H7">
        <v>45</v>
      </c>
      <c r="I7" s="14" t="s">
        <v>28</v>
      </c>
    </row>
    <row r="8" spans="1:14" x14ac:dyDescent="0.25">
      <c r="A8" s="9" t="s">
        <v>102</v>
      </c>
      <c r="B8" s="17">
        <v>46088</v>
      </c>
      <c r="C8" s="14" t="s">
        <v>127</v>
      </c>
      <c r="D8" s="9" t="s">
        <v>103</v>
      </c>
      <c r="E8" s="9" t="s">
        <v>104</v>
      </c>
      <c r="F8" s="9" t="str">
        <f>Dataset[[#This Row],[Brand Name]]&amp; " " &amp;Dataset[[#This Row],[Product Name]]</f>
        <v>Zara Dress</v>
      </c>
      <c r="G8" s="16">
        <v>60</v>
      </c>
      <c r="H8">
        <v>30</v>
      </c>
      <c r="I8" s="9" t="s">
        <v>32</v>
      </c>
    </row>
    <row r="9" spans="1:14" ht="31.2" x14ac:dyDescent="0.3">
      <c r="A9" s="9" t="s">
        <v>64</v>
      </c>
      <c r="B9" s="17">
        <v>46089</v>
      </c>
      <c r="C9" s="14" t="s">
        <v>129</v>
      </c>
      <c r="D9" s="9" t="s">
        <v>34</v>
      </c>
      <c r="E9" s="9" t="s">
        <v>65</v>
      </c>
      <c r="F9" s="9" t="str">
        <f>Dataset[[#This Row],[Brand Name]]&amp; " " &amp;Dataset[[#This Row],[Product Name]]</f>
        <v>Nespresso Coffee Maker</v>
      </c>
      <c r="G9" s="16">
        <v>120</v>
      </c>
      <c r="H9">
        <v>35</v>
      </c>
      <c r="I9" s="14" t="s">
        <v>120</v>
      </c>
      <c r="L9" s="11" t="s">
        <v>5</v>
      </c>
      <c r="M9" s="15" t="s">
        <v>122</v>
      </c>
    </row>
    <row r="10" spans="1:14" ht="27" x14ac:dyDescent="0.3">
      <c r="A10" s="9" t="s">
        <v>89</v>
      </c>
      <c r="B10" s="17">
        <v>46090</v>
      </c>
      <c r="C10" s="14" t="s">
        <v>127</v>
      </c>
      <c r="D10" s="9" t="s">
        <v>90</v>
      </c>
      <c r="E10" s="9" t="s">
        <v>91</v>
      </c>
      <c r="F10" s="9" t="str">
        <f>Dataset[[#This Row],[Brand Name]]&amp; " " &amp;Dataset[[#This Row],[Product Name]]</f>
        <v>Panasonic Microwave</v>
      </c>
      <c r="G10" s="16">
        <v>80</v>
      </c>
      <c r="H10">
        <v>20</v>
      </c>
      <c r="I10" s="9" t="s">
        <v>36</v>
      </c>
      <c r="L10" s="11" t="s">
        <v>6</v>
      </c>
      <c r="M10" s="15" t="s">
        <v>121</v>
      </c>
    </row>
    <row r="11" spans="1:14" ht="46.8" x14ac:dyDescent="0.3">
      <c r="A11" s="9" t="s">
        <v>113</v>
      </c>
      <c r="B11" s="17">
        <v>46091</v>
      </c>
      <c r="C11" s="14" t="s">
        <v>130</v>
      </c>
      <c r="D11" s="9" t="s">
        <v>114</v>
      </c>
      <c r="E11" s="9" t="s">
        <v>115</v>
      </c>
      <c r="F11" s="9" t="str">
        <f>Dataset[[#This Row],[Brand Name]]&amp; " " &amp;Dataset[[#This Row],[Product Name]]</f>
        <v>Casio Watch</v>
      </c>
      <c r="G11" s="16">
        <v>100</v>
      </c>
      <c r="H11">
        <v>20</v>
      </c>
      <c r="I11" s="14" t="s">
        <v>75</v>
      </c>
      <c r="L11" s="11" t="s">
        <v>7</v>
      </c>
      <c r="M11" s="15" t="s">
        <v>146</v>
      </c>
    </row>
    <row r="12" spans="1:14" x14ac:dyDescent="0.25">
      <c r="A12" s="9" t="s">
        <v>37</v>
      </c>
      <c r="B12" s="17">
        <v>46092</v>
      </c>
      <c r="C12" s="14" t="s">
        <v>128</v>
      </c>
      <c r="D12" s="9" t="s">
        <v>96</v>
      </c>
      <c r="E12" s="9" t="s">
        <v>39</v>
      </c>
      <c r="F12" s="9" t="str">
        <f>Dataset[[#This Row],[Brand Name]]&amp; " " &amp;Dataset[[#This Row],[Product Name]]</f>
        <v>Samsung Smartphone</v>
      </c>
      <c r="G12" s="16">
        <v>900</v>
      </c>
      <c r="H12">
        <v>25</v>
      </c>
      <c r="I12" s="14" t="s">
        <v>28</v>
      </c>
    </row>
    <row r="13" spans="1:14" x14ac:dyDescent="0.25">
      <c r="A13" s="9" t="s">
        <v>100</v>
      </c>
      <c r="B13" s="17">
        <v>46093</v>
      </c>
      <c r="C13" s="14" t="s">
        <v>127</v>
      </c>
      <c r="D13" s="9" t="s">
        <v>51</v>
      </c>
      <c r="E13" s="9" t="s">
        <v>101</v>
      </c>
      <c r="F13" s="9" t="str">
        <f>Dataset[[#This Row],[Brand Name]]&amp; " " &amp;Dataset[[#This Row],[Product Name]]</f>
        <v>Vitamix Blender</v>
      </c>
      <c r="G13" s="16">
        <v>400</v>
      </c>
      <c r="H13">
        <v>40</v>
      </c>
      <c r="I13" s="9" t="s">
        <v>36</v>
      </c>
    </row>
    <row r="14" spans="1:14" ht="40.200000000000003" x14ac:dyDescent="0.3">
      <c r="A14" s="9" t="s">
        <v>105</v>
      </c>
      <c r="B14" s="17">
        <v>46094</v>
      </c>
      <c r="C14" s="14" t="s">
        <v>127</v>
      </c>
      <c r="D14" s="9" t="s">
        <v>106</v>
      </c>
      <c r="E14" s="9" t="s">
        <v>107</v>
      </c>
      <c r="F14" s="9" t="str">
        <f>Dataset[[#This Row],[Brand Name]]&amp; " " &amp;Dataset[[#This Row],[Product Name]]</f>
        <v>Hamilton Toaster</v>
      </c>
      <c r="G14" s="16">
        <v>40</v>
      </c>
      <c r="H14">
        <v>10</v>
      </c>
      <c r="I14" s="9" t="s">
        <v>36</v>
      </c>
      <c r="L14" s="11" t="s">
        <v>9</v>
      </c>
      <c r="M14" s="15" t="s">
        <v>123</v>
      </c>
    </row>
    <row r="15" spans="1:14" x14ac:dyDescent="0.25">
      <c r="A15" s="9" t="s">
        <v>83</v>
      </c>
      <c r="B15" s="17">
        <v>46095</v>
      </c>
      <c r="C15" s="14" t="s">
        <v>128</v>
      </c>
      <c r="D15" s="9" t="s">
        <v>84</v>
      </c>
      <c r="E15" s="9" t="s">
        <v>85</v>
      </c>
      <c r="F15" s="9" t="str">
        <f>Dataset[[#This Row],[Brand Name]]&amp; " " &amp;Dataset[[#This Row],[Product Name]]</f>
        <v>Coleman Camping Tent</v>
      </c>
      <c r="G15" s="16">
        <v>130</v>
      </c>
      <c r="H15">
        <v>10</v>
      </c>
      <c r="I15" s="9" t="s">
        <v>59</v>
      </c>
    </row>
    <row r="16" spans="1:14" ht="46.8" x14ac:dyDescent="0.3">
      <c r="A16" s="9" t="s">
        <v>86</v>
      </c>
      <c r="B16" s="17">
        <v>46096</v>
      </c>
      <c r="C16" s="14" t="s">
        <v>131</v>
      </c>
      <c r="D16" s="9" t="s">
        <v>87</v>
      </c>
      <c r="E16" s="9" t="s">
        <v>88</v>
      </c>
      <c r="F16" s="9" t="str">
        <f>Dataset[[#This Row],[Brand Name]]&amp; " " &amp;Dataset[[#This Row],[Product Name]]</f>
        <v>Nikon Camera</v>
      </c>
      <c r="G16" s="16">
        <v>700</v>
      </c>
      <c r="H16">
        <v>50</v>
      </c>
      <c r="I16" s="9" t="s">
        <v>28</v>
      </c>
      <c r="L16" s="11" t="s">
        <v>11</v>
      </c>
      <c r="M16" s="15" t="s">
        <v>138</v>
      </c>
    </row>
    <row r="17" spans="1:13" ht="31.2" x14ac:dyDescent="0.3">
      <c r="A17" s="9" t="s">
        <v>56</v>
      </c>
      <c r="B17" s="17">
        <v>46097</v>
      </c>
      <c r="C17" s="14" t="s">
        <v>126</v>
      </c>
      <c r="D17" s="9" t="s">
        <v>57</v>
      </c>
      <c r="E17" s="9" t="s">
        <v>58</v>
      </c>
      <c r="F17" s="9" t="str">
        <f>Dataset[[#This Row],[Brand Name]]&amp; " " &amp;Dataset[[#This Row],[Product Name]]</f>
        <v>Timberland Hiking Boots</v>
      </c>
      <c r="G17" s="16">
        <v>130</v>
      </c>
      <c r="H17">
        <v>10</v>
      </c>
      <c r="I17" s="9" t="s">
        <v>59</v>
      </c>
      <c r="L17" s="11" t="s">
        <v>12</v>
      </c>
      <c r="M17" s="15" t="s">
        <v>140</v>
      </c>
    </row>
    <row r="18" spans="1:13" x14ac:dyDescent="0.25">
      <c r="A18" s="9" t="s">
        <v>29</v>
      </c>
      <c r="B18" s="17">
        <v>46098</v>
      </c>
      <c r="C18" s="14" t="s">
        <v>128</v>
      </c>
      <c r="D18" s="9" t="s">
        <v>30</v>
      </c>
      <c r="E18" s="9" t="s">
        <v>31</v>
      </c>
      <c r="F18" s="9" t="str">
        <f>Dataset[[#This Row],[Brand Name]]&amp; " " &amp;Dataset[[#This Row],[Product Name]]</f>
        <v>Nike Sneakers</v>
      </c>
      <c r="G18" s="16">
        <v>80</v>
      </c>
      <c r="H18">
        <v>15</v>
      </c>
      <c r="I18" s="9" t="s">
        <v>32</v>
      </c>
    </row>
    <row r="19" spans="1:13" ht="31.2" x14ac:dyDescent="0.3">
      <c r="A19" s="9" t="s">
        <v>69</v>
      </c>
      <c r="B19" s="17">
        <v>46099</v>
      </c>
      <c r="C19" s="14" t="s">
        <v>132</v>
      </c>
      <c r="D19" s="9" t="s">
        <v>44</v>
      </c>
      <c r="E19" s="9" t="s">
        <v>71</v>
      </c>
      <c r="F19" s="9" t="str">
        <f>Dataset[[#This Row],[Brand Name]]&amp; " " &amp;Dataset[[#This Row],[Product Name]]</f>
        <v>Bose Headphones</v>
      </c>
      <c r="G19" s="16">
        <v>250</v>
      </c>
      <c r="H19">
        <v>20</v>
      </c>
      <c r="I19" s="9" t="s">
        <v>28</v>
      </c>
      <c r="L19" s="11" t="s">
        <v>14</v>
      </c>
      <c r="M19" s="15" t="s">
        <v>141</v>
      </c>
    </row>
    <row r="20" spans="1:13" ht="31.2" x14ac:dyDescent="0.3">
      <c r="A20" s="9" t="s">
        <v>60</v>
      </c>
      <c r="B20" s="17">
        <v>46100</v>
      </c>
      <c r="C20" s="14" t="s">
        <v>133</v>
      </c>
      <c r="D20" s="9" t="s">
        <v>61</v>
      </c>
      <c r="E20" s="9" t="s">
        <v>62</v>
      </c>
      <c r="F20" s="9" t="str">
        <f>Dataset[[#This Row],[Brand Name]]&amp; " " &amp;Dataset[[#This Row],[Product Name]]</f>
        <v>HP Laptop</v>
      </c>
      <c r="G20" s="16">
        <v>950</v>
      </c>
      <c r="H20">
        <v>25</v>
      </c>
      <c r="I20" s="9" t="s">
        <v>28</v>
      </c>
      <c r="L20" s="11" t="s">
        <v>15</v>
      </c>
      <c r="M20" s="15" t="s">
        <v>142</v>
      </c>
    </row>
    <row r="21" spans="1:13" x14ac:dyDescent="0.25">
      <c r="A21" s="9" t="s">
        <v>66</v>
      </c>
      <c r="B21" s="17">
        <v>46101</v>
      </c>
      <c r="C21" s="14" t="s">
        <v>127</v>
      </c>
      <c r="D21" s="9" t="s">
        <v>67</v>
      </c>
      <c r="E21" s="9" t="s">
        <v>68</v>
      </c>
      <c r="F21" s="9" t="str">
        <f>Dataset[[#This Row],[Brand Name]]&amp; " " &amp;Dataset[[#This Row],[Product Name]]</f>
        <v>Fitbit Smartwatch</v>
      </c>
      <c r="G21" s="16">
        <v>150</v>
      </c>
      <c r="H21">
        <v>15</v>
      </c>
      <c r="I21" s="14" t="s">
        <v>28</v>
      </c>
    </row>
    <row r="22" spans="1:13" ht="31.2" x14ac:dyDescent="0.3">
      <c r="A22" s="9" t="s">
        <v>92</v>
      </c>
      <c r="B22" s="17">
        <v>46102</v>
      </c>
      <c r="C22" s="14" t="s">
        <v>134</v>
      </c>
      <c r="D22" s="9" t="s">
        <v>93</v>
      </c>
      <c r="E22" s="9" t="s">
        <v>94</v>
      </c>
      <c r="F22" s="9" t="str">
        <f>Dataset[[#This Row],[Brand Name]]&amp; " " &amp;Dataset[[#This Row],[Product Name]]</f>
        <v>Xiaomi Fitness Tracker</v>
      </c>
      <c r="G22" s="16">
        <v>150</v>
      </c>
      <c r="H22">
        <v>30</v>
      </c>
      <c r="I22" s="14" t="s">
        <v>120</v>
      </c>
      <c r="L22" s="11" t="s">
        <v>17</v>
      </c>
      <c r="M22" s="15" t="s">
        <v>144</v>
      </c>
    </row>
    <row r="23" spans="1:13" ht="53.4" x14ac:dyDescent="0.3">
      <c r="A23" s="9" t="s">
        <v>47</v>
      </c>
      <c r="B23" s="17">
        <v>46103</v>
      </c>
      <c r="C23" s="14" t="s">
        <v>126</v>
      </c>
      <c r="D23" s="9" t="s">
        <v>116</v>
      </c>
      <c r="E23" s="9" t="s">
        <v>49</v>
      </c>
      <c r="F23" s="9" t="str">
        <f>Dataset[[#This Row],[Brand Name]]&amp; " " &amp;Dataset[[#This Row],[Product Name]]</f>
        <v>Adidas T-Shirt</v>
      </c>
      <c r="G23" s="16">
        <v>30</v>
      </c>
      <c r="H23">
        <v>5</v>
      </c>
      <c r="I23" s="9" t="s">
        <v>32</v>
      </c>
      <c r="L23" s="11" t="s">
        <v>18</v>
      </c>
      <c r="M23" s="15" t="s">
        <v>143</v>
      </c>
    </row>
    <row r="24" spans="1:13" x14ac:dyDescent="0.25">
      <c r="A24" s="9" t="s">
        <v>76</v>
      </c>
      <c r="B24" s="17">
        <v>46104</v>
      </c>
      <c r="C24" s="14" t="s">
        <v>135</v>
      </c>
      <c r="D24" s="9" t="s">
        <v>67</v>
      </c>
      <c r="E24" s="9" t="s">
        <v>77</v>
      </c>
      <c r="F24" s="9" t="str">
        <f>Dataset[[#This Row],[Brand Name]]&amp; " " &amp;Dataset[[#This Row],[Product Name]]</f>
        <v>Huawei Smartwatch</v>
      </c>
      <c r="G24" s="16">
        <v>160</v>
      </c>
      <c r="H24">
        <v>15</v>
      </c>
      <c r="I24" s="9" t="s">
        <v>28</v>
      </c>
    </row>
    <row r="25" spans="1:13" x14ac:dyDescent="0.25">
      <c r="A25" s="9" t="s">
        <v>72</v>
      </c>
      <c r="B25" s="17">
        <v>46105</v>
      </c>
      <c r="C25" s="14" t="s">
        <v>127</v>
      </c>
      <c r="D25" s="9" t="s">
        <v>73</v>
      </c>
      <c r="E25" s="9" t="s">
        <v>74</v>
      </c>
      <c r="F25" s="9" t="str">
        <f>Dataset[[#This Row],[Brand Name]]&amp; " " &amp;Dataset[[#This Row],[Product Name]]</f>
        <v>Samsonite Laptop Bag</v>
      </c>
      <c r="G25" s="16">
        <v>50</v>
      </c>
      <c r="H25">
        <v>35</v>
      </c>
      <c r="I25" s="9" t="s">
        <v>75</v>
      </c>
    </row>
    <row r="26" spans="1:13" x14ac:dyDescent="0.25">
      <c r="A26" s="9" t="s">
        <v>40</v>
      </c>
      <c r="B26" s="17">
        <v>46106</v>
      </c>
      <c r="C26" s="14" t="s">
        <v>128</v>
      </c>
      <c r="D26" s="9" t="s">
        <v>41</v>
      </c>
      <c r="E26" s="9" t="s">
        <v>42</v>
      </c>
      <c r="F26" s="9" t="str">
        <f>Dataset[[#This Row],[Brand Name]]&amp; " " &amp;Dataset[[#This Row],[Product Name]]</f>
        <v>North Face Backpack</v>
      </c>
      <c r="G26" s="16">
        <v>70</v>
      </c>
      <c r="H26">
        <v>20</v>
      </c>
      <c r="I26" s="14" t="s">
        <v>120</v>
      </c>
    </row>
    <row r="27" spans="1:13" x14ac:dyDescent="0.25">
      <c r="A27" s="9" t="s">
        <v>50</v>
      </c>
      <c r="B27" s="17">
        <v>46107</v>
      </c>
      <c r="C27" s="14" t="s">
        <v>126</v>
      </c>
      <c r="D27" s="9" t="s">
        <v>51</v>
      </c>
      <c r="E27" s="9" t="s">
        <v>52</v>
      </c>
      <c r="F27" s="9" t="str">
        <f>Dataset[[#This Row],[Brand Name]]&amp; " " &amp;Dataset[[#This Row],[Product Name]]</f>
        <v>Ninja Blender</v>
      </c>
      <c r="G27" s="16">
        <v>90</v>
      </c>
      <c r="H27">
        <v>35</v>
      </c>
      <c r="I27" s="9" t="s">
        <v>36</v>
      </c>
    </row>
    <row r="28" spans="1:13" x14ac:dyDescent="0.25">
      <c r="A28" s="9" t="s">
        <v>108</v>
      </c>
      <c r="B28" s="17">
        <v>46108</v>
      </c>
      <c r="C28" s="14" t="s">
        <v>127</v>
      </c>
      <c r="D28" s="9" t="s">
        <v>93</v>
      </c>
      <c r="E28" s="9" t="s">
        <v>109</v>
      </c>
      <c r="F28" s="9" t="str">
        <f>Dataset[[#This Row],[Brand Name]]&amp; " " &amp;Dataset[[#This Row],[Product Name]]</f>
        <v>Garmin Fitness Tracker</v>
      </c>
      <c r="G28" s="16">
        <v>130</v>
      </c>
      <c r="H28">
        <v>5</v>
      </c>
      <c r="I28" s="9" t="s">
        <v>28</v>
      </c>
    </row>
    <row r="29" spans="1:13" x14ac:dyDescent="0.25">
      <c r="A29" s="9" t="s">
        <v>63</v>
      </c>
      <c r="B29" s="17">
        <v>46109</v>
      </c>
      <c r="C29" s="14" t="s">
        <v>136</v>
      </c>
      <c r="D29" s="9" t="s">
        <v>30</v>
      </c>
      <c r="E29" s="9" t="s">
        <v>49</v>
      </c>
      <c r="F29" s="9" t="str">
        <f>Dataset[[#This Row],[Brand Name]]&amp; " " &amp;Dataset[[#This Row],[Product Name]]</f>
        <v>Adidas Sneakers</v>
      </c>
      <c r="G29" s="16">
        <v>90</v>
      </c>
      <c r="H29">
        <v>40</v>
      </c>
      <c r="I29" s="14" t="s">
        <v>120</v>
      </c>
    </row>
    <row r="30" spans="1:13" x14ac:dyDescent="0.25">
      <c r="A30" s="9" t="s">
        <v>78</v>
      </c>
      <c r="B30" s="17">
        <v>46110</v>
      </c>
      <c r="C30" s="14" t="s">
        <v>137</v>
      </c>
      <c r="D30" s="9" t="s">
        <v>61</v>
      </c>
      <c r="E30" s="9" t="s">
        <v>79</v>
      </c>
      <c r="F30" s="9" t="str">
        <f>Dataset[[#This Row],[Brand Name]]&amp; " " &amp;Dataset[[#This Row],[Product Name]]</f>
        <v>Asus Laptop</v>
      </c>
      <c r="G30" s="16">
        <v>980</v>
      </c>
      <c r="H30">
        <v>10</v>
      </c>
      <c r="I30" s="9" t="s">
        <v>28</v>
      </c>
    </row>
    <row r="31" spans="1:13" x14ac:dyDescent="0.25">
      <c r="A31" s="9" t="s">
        <v>25</v>
      </c>
      <c r="B31" s="17">
        <v>46111</v>
      </c>
      <c r="C31" s="14" t="s">
        <v>128</v>
      </c>
      <c r="D31" s="9" t="s">
        <v>61</v>
      </c>
      <c r="E31" s="9" t="s">
        <v>27</v>
      </c>
      <c r="F31" s="9" t="str">
        <f>Dataset[[#This Row],[Brand Name]]&amp; " " &amp;Dataset[[#This Row],[Product Name]]</f>
        <v>Dell Laptop</v>
      </c>
      <c r="G31" s="16">
        <v>1000</v>
      </c>
      <c r="H31">
        <v>30</v>
      </c>
      <c r="I31" s="14" t="s">
        <v>28</v>
      </c>
    </row>
    <row r="32" spans="1:13" x14ac:dyDescent="0.25">
      <c r="A32" s="9" t="s">
        <v>95</v>
      </c>
      <c r="B32" s="17">
        <v>46112</v>
      </c>
      <c r="C32" s="14" t="s">
        <v>127</v>
      </c>
      <c r="D32" s="9" t="s">
        <v>96</v>
      </c>
      <c r="E32" s="9" t="s">
        <v>97</v>
      </c>
      <c r="F32" s="9" t="str">
        <f>Dataset[[#This Row],[Brand Name]]&amp; " " &amp;Dataset[[#This Row],[Product Name]]</f>
        <v>Google Smartphone</v>
      </c>
      <c r="G32" s="16">
        <v>800</v>
      </c>
      <c r="H32">
        <v>45</v>
      </c>
      <c r="I32" s="9" t="s">
        <v>28</v>
      </c>
    </row>
  </sheetData>
  <conditionalFormatting sqref="G1:G104857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{D3D2BC79-F335-40F7-A4B1-0D82CC334A29}</x14:id>
        </ext>
      </extLst>
    </cfRule>
  </conditionalFormatting>
  <conditionalFormatting sqref="I1:I1048576">
    <cfRule type="cellIs" dxfId="0" priority="1" operator="equal">
      <formula>$I$6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D2BC79-F335-40F7-A4B1-0D82CC334A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208D61-9714-4E79-948F-8B0B3833C3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Nakul Narayanan</cp:lastModifiedBy>
  <dcterms:modified xsi:type="dcterms:W3CDTF">2026-10-05T17:31:44Z</dcterms:modified>
</cp:coreProperties>
</file>